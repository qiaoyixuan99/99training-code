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ontitechind-my.sharepoint.com/personal/uia67550_contitechwan_com/Documents/Desktop/"/>
    </mc:Choice>
  </mc:AlternateContent>
  <xr:revisionPtr revIDLastSave="4" documentId="13_ncr:1_{04830125-682B-4370-BB11-63EBB89430A3}" xr6:coauthVersionLast="47" xr6:coauthVersionMax="47" xr10:uidLastSave="{44FAA17A-8F19-4842-8803-B964482E9F6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6" i="1" l="1"/>
  <c r="L7" i="1"/>
  <c r="L8" i="1"/>
  <c r="L9" i="1"/>
  <c r="L10" i="1"/>
  <c r="L4" i="1" l="1"/>
  <c r="L5" i="1"/>
  <c r="L3" i="1"/>
  <c r="K10" i="1"/>
  <c r="K9" i="1" l="1"/>
  <c r="K8" i="1"/>
  <c r="K7" i="1"/>
  <c r="K6" i="1"/>
  <c r="K5" i="1"/>
  <c r="K4" i="1"/>
  <c r="K3" i="1"/>
</calcChain>
</file>

<file path=xl/sharedStrings.xml><?xml version="1.0" encoding="utf-8"?>
<sst xmlns="http://schemas.openxmlformats.org/spreadsheetml/2006/main" count="42" uniqueCount="42">
  <si>
    <t>质量
Q</t>
  </si>
  <si>
    <t>安全
S</t>
  </si>
  <si>
    <t>价格
V</t>
  </si>
  <si>
    <t>交期
D</t>
  </si>
  <si>
    <t>所在设备重要性
P</t>
  </si>
  <si>
    <t>分值
 Sum</t>
  </si>
  <si>
    <t>如果唯一性是1，那等级就是A,忽略后面Q,S,V,D,P</t>
  </si>
  <si>
    <t>如果 S＞4.5，等级也是A</t>
  </si>
  <si>
    <t>如果2.5＜S＜4.5，等级就是B</t>
  </si>
  <si>
    <t>如果S＜2.5，等级就是C</t>
  </si>
  <si>
    <t>Sum=Q*0.1+S*0.1+V*0.2+D*0.3+P*0.3</t>
  </si>
  <si>
    <t>备件等级定义表</t>
    <phoneticPr fontId="2" type="noConversion"/>
  </si>
  <si>
    <t>等级
class</t>
    <phoneticPr fontId="2" type="noConversion"/>
  </si>
  <si>
    <t>序号
NO.</t>
    <phoneticPr fontId="2" type="noConversion"/>
  </si>
  <si>
    <t>名称
name</t>
    <phoneticPr fontId="2" type="noConversion"/>
  </si>
  <si>
    <t>规格
type</t>
    <phoneticPr fontId="2" type="noConversion"/>
  </si>
  <si>
    <t>唯一性
unique</t>
    <phoneticPr fontId="2" type="noConversion"/>
  </si>
  <si>
    <t>品牌
brand</t>
    <phoneticPr fontId="2" type="noConversion"/>
  </si>
  <si>
    <t>旋转接头</t>
    <phoneticPr fontId="2" type="noConversion"/>
  </si>
  <si>
    <t>MAIER</t>
    <phoneticPr fontId="2" type="noConversion"/>
  </si>
  <si>
    <t>DP15 R51</t>
    <phoneticPr fontId="2" type="noConversion"/>
  </si>
  <si>
    <t>皮纸分离皮带</t>
    <phoneticPr fontId="2" type="noConversion"/>
  </si>
  <si>
    <t>MATEX</t>
    <phoneticPr fontId="2" type="noConversion"/>
  </si>
  <si>
    <t>A2295B003A</t>
    <phoneticPr fontId="2" type="noConversion"/>
  </si>
  <si>
    <t>柱塞泵</t>
    <phoneticPr fontId="2" type="noConversion"/>
  </si>
  <si>
    <t>ARROW</t>
    <phoneticPr fontId="2" type="noConversion"/>
  </si>
  <si>
    <t>M100</t>
    <phoneticPr fontId="2" type="noConversion"/>
  </si>
  <si>
    <t>LED灯驱动</t>
    <phoneticPr fontId="2" type="noConversion"/>
  </si>
  <si>
    <t>OTC</t>
    <phoneticPr fontId="2" type="noConversion"/>
  </si>
  <si>
    <t>YSH-JL</t>
    <phoneticPr fontId="2" type="noConversion"/>
  </si>
  <si>
    <t>蓝色按钮</t>
  </si>
  <si>
    <t>EATON</t>
    <phoneticPr fontId="2" type="noConversion"/>
  </si>
  <si>
    <t>M22-DL-B</t>
    <phoneticPr fontId="2" type="noConversion"/>
  </si>
  <si>
    <t>网络接头（直）</t>
    <phoneticPr fontId="2" type="noConversion"/>
  </si>
  <si>
    <t>SIEMENS</t>
    <phoneticPr fontId="2" type="noConversion"/>
  </si>
  <si>
    <t>6GK1901-1BB10-2AA0</t>
    <phoneticPr fontId="2" type="noConversion"/>
  </si>
  <si>
    <t>车轮编码器</t>
  </si>
  <si>
    <t>wheel encoder</t>
    <phoneticPr fontId="2" type="noConversion"/>
  </si>
  <si>
    <t>WE-M3T</t>
    <phoneticPr fontId="2" type="noConversion"/>
  </si>
  <si>
    <t>当等级A时安全库存≥2</t>
    <phoneticPr fontId="2" type="noConversion"/>
  </si>
  <si>
    <t>当等级B时安全库存≥1</t>
    <phoneticPr fontId="2" type="noConversion"/>
  </si>
  <si>
    <t>当C时 大≥0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</si>
</sst>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.00\ [$€-407]_-;\-* #,##0.00\ [$€-407]_-;_-* &quot;-&quot;??\ [$€-407]_-;_-@_-"/>
    <numFmt numFmtId="177" formatCode="#,##0.00\ [$€-1];[Red]\-#,##0.00\ [$€-1]"/>
  </numFmts>
  <fonts count="8" x14ac:knownFonts="1">
    <font>
      <sz val="11"/>
      <color theme="1"/>
      <name val="等线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indexed="8"/>
      <name val="Calibri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76" fontId="6" fillId="0" borderId="0">
      <alignment vertical="center"/>
    </xf>
    <xf numFmtId="176" fontId="6" fillId="0" borderId="0">
      <alignment vertical="center"/>
    </xf>
    <xf numFmtId="177" fontId="6" fillId="0" borderId="0">
      <alignment vertical="center"/>
    </xf>
    <xf numFmtId="176" fontId="6" fillId="0" borderId="0">
      <alignment vertical="center"/>
    </xf>
    <xf numFmtId="176" fontId="7" fillId="0" borderId="0">
      <alignment vertical="center"/>
    </xf>
    <xf numFmtId="176" fontId="6" fillId="0" borderId="0">
      <alignment vertical="center"/>
    </xf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4" fillId="7" borderId="1" xfId="0" applyFont="1" applyFill="1" applyBorder="1" applyAlignment="1">
      <alignment horizontal="center" wrapText="1"/>
    </xf>
    <xf numFmtId="0" fontId="0" fillId="7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4" fillId="0" borderId="0" xfId="0" applyFont="1" applyAlignment="1">
      <alignment horizontal="center"/>
    </xf>
  </cellXfs>
  <cellStyles count="7">
    <cellStyle name="Normal" xfId="0" builtinId="0"/>
    <cellStyle name="Normal 3" xfId="3" xr:uid="{FE017D57-B6EB-4C08-81E9-8399FDA903B6}"/>
    <cellStyle name="Standard 2" xfId="5" xr:uid="{AADD8246-A1FB-4A37-B66C-C61E5FB7B4ED}"/>
    <cellStyle name="常规 2" xfId="2" xr:uid="{F1FA5D86-F6A4-4144-8C6A-389A123C9B30}"/>
    <cellStyle name="常规 2 3" xfId="4" xr:uid="{CA169B60-0A23-4EBE-975F-1C45EA3FC0CE}"/>
    <cellStyle name="常规 2 4" xfId="6" xr:uid="{10F15E01-98A5-4F55-9FF0-5A5AE7555B04}"/>
    <cellStyle name="常规 7" xfId="1" xr:uid="{9FCA314B-254C-45C9-BB13-0FDE44AAA8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M13" sqref="M13"/>
    </sheetView>
  </sheetViews>
  <sheetFormatPr defaultColWidth="9" defaultRowHeight="13.8" x14ac:dyDescent="0.25"/>
  <cols>
    <col min="1" max="1" width="6.33203125" customWidth="1"/>
    <col min="2" max="2" width="17.33203125" customWidth="1"/>
    <col min="3" max="3" width="15.5546875" customWidth="1"/>
    <col min="4" max="4" width="22.109375" customWidth="1"/>
    <col min="5" max="5" width="8.5546875" customWidth="1"/>
    <col min="6" max="9" width="7.21875" customWidth="1"/>
    <col min="10" max="10" width="14.88671875" customWidth="1"/>
    <col min="11" max="11" width="9.109375" customWidth="1"/>
    <col min="12" max="12" width="10.44140625" style="2" customWidth="1"/>
    <col min="13" max="13" width="50.21875" customWidth="1"/>
    <col min="14" max="14" width="13.109375" customWidth="1"/>
  </cols>
  <sheetData>
    <row r="1" spans="1:14" ht="35.4" customHeight="1" x14ac:dyDescent="0.25">
      <c r="A1" s="11" t="s">
        <v>11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3"/>
    </row>
    <row r="2" spans="1:14" ht="36.6" customHeight="1" x14ac:dyDescent="0.25">
      <c r="A2" s="5" t="s">
        <v>13</v>
      </c>
      <c r="B2" s="5" t="s">
        <v>14</v>
      </c>
      <c r="C2" s="5" t="s">
        <v>17</v>
      </c>
      <c r="D2" s="5" t="s">
        <v>15</v>
      </c>
      <c r="E2" s="8" t="s">
        <v>16</v>
      </c>
      <c r="F2" s="9" t="s">
        <v>0</v>
      </c>
      <c r="G2" s="9" t="s">
        <v>1</v>
      </c>
      <c r="H2" s="9" t="s">
        <v>2</v>
      </c>
      <c r="I2" s="9" t="s">
        <v>3</v>
      </c>
      <c r="J2" s="9" t="s">
        <v>4</v>
      </c>
      <c r="K2" s="9" t="s">
        <v>5</v>
      </c>
      <c r="L2" s="5" t="s">
        <v>12</v>
      </c>
    </row>
    <row r="3" spans="1:14" x14ac:dyDescent="0.25">
      <c r="A3" s="1"/>
      <c r="B3" s="6" t="s">
        <v>18</v>
      </c>
      <c r="C3" s="6" t="s">
        <v>19</v>
      </c>
      <c r="D3" s="6" t="s">
        <v>20</v>
      </c>
      <c r="E3" s="1">
        <v>1</v>
      </c>
      <c r="F3" s="1"/>
      <c r="G3" s="1"/>
      <c r="H3" s="1"/>
      <c r="I3" s="1"/>
      <c r="J3" s="1"/>
      <c r="K3" s="1">
        <f t="shared" ref="K3:K9" si="0">F3*0.1+G3*0.1+H3*0.2+I3*0.3+J3*0.3</f>
        <v>0</v>
      </c>
      <c r="L3" s="1" t="str">
        <f>IF(OR(E3=1,J3&gt;4.5),"A",(IF(2.5&lt;=J3,"B","C")))</f>
        <v>A</v>
      </c>
    </row>
    <row r="4" spans="1:14" x14ac:dyDescent="0.25">
      <c r="A4" s="1"/>
      <c r="B4" s="6" t="s">
        <v>21</v>
      </c>
      <c r="C4" s="6" t="s">
        <v>22</v>
      </c>
      <c r="D4" s="6" t="s">
        <v>23</v>
      </c>
      <c r="E4" s="1">
        <v>1</v>
      </c>
      <c r="F4" s="1"/>
      <c r="G4" s="1"/>
      <c r="H4" s="1"/>
      <c r="I4" s="1"/>
      <c r="J4" s="1"/>
      <c r="K4" s="1">
        <f t="shared" si="0"/>
        <v>0</v>
      </c>
      <c r="L4" s="1" t="str">
        <f t="shared" ref="L4:L10" si="1">IF(OR(E4=1,J4&gt;4.5),"A",(IF(2.5&lt;=J4,"B","C")))</f>
        <v>A</v>
      </c>
    </row>
    <row r="5" spans="1:14" x14ac:dyDescent="0.25">
      <c r="A5" s="1"/>
      <c r="B5" s="6" t="s">
        <v>24</v>
      </c>
      <c r="C5" s="6" t="s">
        <v>25</v>
      </c>
      <c r="D5" s="6" t="s">
        <v>26</v>
      </c>
      <c r="E5" s="1">
        <v>0</v>
      </c>
      <c r="F5" s="1">
        <v>5</v>
      </c>
      <c r="G5" s="1">
        <v>1</v>
      </c>
      <c r="H5" s="1">
        <v>5</v>
      </c>
      <c r="I5" s="1">
        <v>5</v>
      </c>
      <c r="J5" s="1">
        <v>5</v>
      </c>
      <c r="K5" s="1">
        <f t="shared" si="0"/>
        <v>4.5999999999999996</v>
      </c>
      <c r="L5" s="1" t="str">
        <f t="shared" si="1"/>
        <v>A</v>
      </c>
    </row>
    <row r="6" spans="1:14" x14ac:dyDescent="0.25">
      <c r="A6" s="1"/>
      <c r="B6" s="6" t="s">
        <v>36</v>
      </c>
      <c r="C6" s="6" t="s">
        <v>37</v>
      </c>
      <c r="D6" s="6" t="s">
        <v>38</v>
      </c>
      <c r="E6" s="1">
        <v>0</v>
      </c>
      <c r="F6" s="1">
        <v>2</v>
      </c>
      <c r="G6" s="1">
        <v>2</v>
      </c>
      <c r="H6" s="1">
        <v>2</v>
      </c>
      <c r="I6" s="1">
        <v>5</v>
      </c>
      <c r="J6" s="1">
        <v>5</v>
      </c>
      <c r="K6" s="7">
        <f t="shared" si="0"/>
        <v>3.8</v>
      </c>
      <c r="L6" s="1" t="str">
        <f t="shared" si="1"/>
        <v>A</v>
      </c>
    </row>
    <row r="7" spans="1:14" x14ac:dyDescent="0.25">
      <c r="A7" s="1"/>
      <c r="B7" s="6" t="s">
        <v>33</v>
      </c>
      <c r="C7" s="6" t="s">
        <v>34</v>
      </c>
      <c r="D7" s="6" t="s">
        <v>35</v>
      </c>
      <c r="E7" s="1">
        <v>0</v>
      </c>
      <c r="F7" s="1">
        <v>3</v>
      </c>
      <c r="G7" s="1">
        <v>3</v>
      </c>
      <c r="H7" s="1">
        <v>2</v>
      </c>
      <c r="I7" s="1">
        <v>5</v>
      </c>
      <c r="J7" s="1">
        <v>5</v>
      </c>
      <c r="K7" s="7">
        <f t="shared" si="0"/>
        <v>4</v>
      </c>
      <c r="L7" s="1" t="str">
        <f t="shared" si="1"/>
        <v>A</v>
      </c>
      <c r="N7" s="3"/>
    </row>
    <row r="8" spans="1:14" x14ac:dyDescent="0.25">
      <c r="A8" s="1"/>
      <c r="B8" s="1" t="s">
        <v>30</v>
      </c>
      <c r="C8" s="6" t="s">
        <v>31</v>
      </c>
      <c r="D8" s="6" t="s">
        <v>32</v>
      </c>
      <c r="E8" s="1">
        <v>0</v>
      </c>
      <c r="F8" s="1">
        <v>2</v>
      </c>
      <c r="G8" s="1">
        <v>2</v>
      </c>
      <c r="H8" s="1">
        <v>1</v>
      </c>
      <c r="I8" s="1">
        <v>2</v>
      </c>
      <c r="J8" s="1">
        <v>3</v>
      </c>
      <c r="K8" s="7">
        <f t="shared" si="0"/>
        <v>2.1</v>
      </c>
      <c r="L8" s="1" t="str">
        <f t="shared" si="1"/>
        <v>B</v>
      </c>
      <c r="N8" s="3"/>
    </row>
    <row r="9" spans="1:14" x14ac:dyDescent="0.25">
      <c r="A9" s="1"/>
      <c r="B9" s="6" t="s">
        <v>27</v>
      </c>
      <c r="C9" s="6" t="s">
        <v>28</v>
      </c>
      <c r="D9" s="6" t="s">
        <v>29</v>
      </c>
      <c r="E9" s="1">
        <v>0</v>
      </c>
      <c r="F9" s="1">
        <v>1</v>
      </c>
      <c r="G9" s="1">
        <v>2</v>
      </c>
      <c r="H9" s="1">
        <v>1</v>
      </c>
      <c r="I9" s="1">
        <v>1</v>
      </c>
      <c r="J9" s="1">
        <v>4</v>
      </c>
      <c r="K9" s="1">
        <f t="shared" si="0"/>
        <v>2</v>
      </c>
      <c r="L9" s="1" t="str">
        <f t="shared" si="1"/>
        <v>B</v>
      </c>
      <c r="N9" s="4"/>
    </row>
    <row r="10" spans="1:14" x14ac:dyDescent="0.25">
      <c r="A10" s="1"/>
      <c r="B10" s="1"/>
      <c r="C10" s="1"/>
      <c r="D10" s="1"/>
      <c r="E10" s="1">
        <v>0</v>
      </c>
      <c r="F10" s="1">
        <v>1</v>
      </c>
      <c r="G10" s="1">
        <v>2</v>
      </c>
      <c r="H10" s="1">
        <v>1</v>
      </c>
      <c r="I10" s="1">
        <v>3</v>
      </c>
      <c r="J10" s="1">
        <v>2.5</v>
      </c>
      <c r="K10" s="7">
        <f t="shared" ref="K10" si="2">F10*0.1+G10*0.1+H10*0.2+I10*0.3+J10*0.3</f>
        <v>2.15</v>
      </c>
      <c r="L10" s="1" t="str">
        <f t="shared" si="1"/>
        <v>B</v>
      </c>
    </row>
    <row r="11" spans="1:14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3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3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3" x14ac:dyDescent="0.25">
      <c r="A19" s="2"/>
      <c r="B19" s="14" t="s">
        <v>6</v>
      </c>
      <c r="C19" s="14"/>
      <c r="D19" s="14"/>
      <c r="E19" s="2"/>
      <c r="F19" s="2"/>
      <c r="G19" s="2"/>
      <c r="H19" s="2"/>
      <c r="I19" s="2"/>
      <c r="J19" s="2"/>
      <c r="K19" s="2"/>
      <c r="L19" s="17" t="s">
        <v>39</v>
      </c>
      <c r="M19" s="17"/>
    </row>
    <row r="20" spans="1:13" x14ac:dyDescent="0.25">
      <c r="A20" s="2"/>
      <c r="B20" s="14" t="s">
        <v>7</v>
      </c>
      <c r="C20" s="14"/>
      <c r="D20" s="14"/>
      <c r="E20" s="2"/>
      <c r="F20" s="2"/>
      <c r="G20" s="2"/>
      <c r="H20" s="2"/>
      <c r="I20" s="2"/>
      <c r="J20" s="2"/>
      <c r="K20" s="2"/>
      <c r="L20" s="17" t="s">
        <v>40</v>
      </c>
      <c r="M20" s="17"/>
    </row>
    <row r="21" spans="1:13" x14ac:dyDescent="0.25">
      <c r="A21" s="2"/>
      <c r="B21" s="15" t="s">
        <v>8</v>
      </c>
      <c r="C21" s="15"/>
      <c r="D21" s="15"/>
      <c r="E21" s="2"/>
      <c r="F21" s="2"/>
      <c r="G21" s="2"/>
      <c r="H21" s="2"/>
      <c r="I21" s="2"/>
      <c r="J21" s="2"/>
      <c r="K21" s="2"/>
      <c r="L21" s="17" t="s">
        <v>41</v>
      </c>
      <c r="M21" s="17"/>
    </row>
    <row r="22" spans="1:13" x14ac:dyDescent="0.25">
      <c r="A22" s="2"/>
      <c r="B22" s="16" t="s">
        <v>9</v>
      </c>
      <c r="C22" s="16"/>
      <c r="D22" s="16"/>
      <c r="E22" s="2"/>
      <c r="F22" s="2"/>
      <c r="G22" s="2"/>
      <c r="H22" s="2"/>
      <c r="I22" s="2"/>
      <c r="J22" s="2"/>
      <c r="K22" s="2"/>
    </row>
    <row r="23" spans="1:13" x14ac:dyDescent="0.25">
      <c r="A23" s="2"/>
      <c r="B23" s="10" t="s">
        <v>10</v>
      </c>
      <c r="C23" s="10"/>
      <c r="D23" s="10"/>
      <c r="E23" s="2"/>
      <c r="F23" s="2"/>
      <c r="G23" s="2"/>
      <c r="H23" s="2"/>
      <c r="I23" s="2"/>
      <c r="J23" s="2"/>
      <c r="K23" s="2"/>
    </row>
    <row r="24" spans="1:1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3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3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</sheetData>
  <mergeCells count="9">
    <mergeCell ref="B23:D23"/>
    <mergeCell ref="A1:L1"/>
    <mergeCell ref="B19:D19"/>
    <mergeCell ref="B20:D20"/>
    <mergeCell ref="B21:D21"/>
    <mergeCell ref="B22:D22"/>
    <mergeCell ref="L19:M19"/>
    <mergeCell ref="L20:M20"/>
    <mergeCell ref="L21:M21"/>
  </mergeCells>
  <phoneticPr fontId="2" type="noConversion"/>
  <pageMargins left="0.7" right="0.7" top="0.75" bottom="0.75" header="0.3" footer="0.3"/>
  <pageSetup orientation="portrait" r:id="rId1"/>
  <headerFooter>
    <oddFooter>&amp;C_x000D_&amp;1#&amp;"Calibri"&amp;8&amp;K000000 Internal</oddFooter>
  </headerFooter>
</worksheet>
</file>

<file path=docMetadata/LabelInfo.xml><?xml version="1.0" encoding="utf-8"?>
<clbl:labelList xmlns:clbl="http://schemas.microsoft.com/office/2020/mipLabelMetadata">
  <clbl:label id="{a6f807ec-8389-4e12-a2f8-e0e123d2ddfc}" enabled="1" method="Standard" siteId="{49bcf5a3-8181-4f6c-aa5a-2625c7e55082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Tang, Jichun (tangja)</dc:creator>
  <cp:lastModifiedBy>Tang, Jichun</cp:lastModifiedBy>
  <dcterms:created xsi:type="dcterms:W3CDTF">2015-06-05T18:17:00Z</dcterms:created>
  <dcterms:modified xsi:type="dcterms:W3CDTF">2026-06-05T01:26:15Z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C81D9F4BC2754249B49D05383FB16D2B</vt:lpwstr>
  </property>
  <property fmtid="{D5CDD505-2E9C-101B-9397-08002B2CF9AE}" pid="3" name="KSOProductBuildVer">
    <vt:lpwstr>2052-11.1.0.10700</vt:lpwstr>
  </property>
</Properties>
</file>